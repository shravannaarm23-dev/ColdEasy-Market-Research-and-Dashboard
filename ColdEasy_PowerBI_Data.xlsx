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avan N V\Downloads\"/>
    </mc:Choice>
  </mc:AlternateContent>
  <xr:revisionPtr revIDLastSave="0" documentId="13_ncr:1_{5AF58404-4A61-4365-AB23-68A17717AC5B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Comparison_Wide" sheetId="1" r:id="rId1"/>
    <sheet name="Comparison_Chart" sheetId="2" r:id="rId2"/>
    <sheet name="Segmentatio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3" l="1"/>
  <c r="F5" i="3" s="1"/>
  <c r="E4" i="3"/>
  <c r="F4" i="3" s="1"/>
  <c r="E3" i="3"/>
  <c r="F3" i="3" s="1"/>
  <c r="F2" i="3"/>
  <c r="E2" i="3"/>
</calcChain>
</file>

<file path=xl/sharedStrings.xml><?xml version="1.0" encoding="utf-8"?>
<sst xmlns="http://schemas.openxmlformats.org/spreadsheetml/2006/main" count="52" uniqueCount="40">
  <si>
    <t>Dimension</t>
  </si>
  <si>
    <t>ColdEasy</t>
  </si>
  <si>
    <t>Sabjee_Cooler</t>
  </si>
  <si>
    <t>Technology</t>
  </si>
  <si>
    <t>Dew-point cooling (active)</t>
  </si>
  <si>
    <t>Evaporative cooling (passive)</t>
  </si>
  <si>
    <t>Capacity (kg)</t>
  </si>
  <si>
    <t>Price (INR)</t>
  </si>
  <si>
    <t>Resource Requirement</t>
  </si>
  <si>
    <t>~4 electricity units/day</t>
  </si>
  <si>
    <t>15-20 litres water/day, no electricity</t>
  </si>
  <si>
    <t>Target Customer</t>
  </si>
  <si>
    <t>Large farmers, FPOs, NGOs</t>
  </si>
  <si>
    <t>Small &amp; marginal farmers, FPOs, NGOs</t>
  </si>
  <si>
    <t>Founded Year</t>
  </si>
  <si>
    <t>Product</t>
  </si>
  <si>
    <t>Metric</t>
  </si>
  <si>
    <t>Value</t>
  </si>
  <si>
    <t>Unit</t>
  </si>
  <si>
    <t>Capacity</t>
  </si>
  <si>
    <t>kg</t>
  </si>
  <si>
    <t>Sabjee Cooler</t>
  </si>
  <si>
    <t>Price</t>
  </si>
  <si>
    <t>INR</t>
  </si>
  <si>
    <t>year</t>
  </si>
  <si>
    <t>Segment</t>
  </si>
  <si>
    <t>Need_Intensity (1-5)</t>
  </si>
  <si>
    <t>GTM_Readiness (1-5)</t>
  </si>
  <si>
    <t>Segment_Size_Estimate (1-5)</t>
  </si>
  <si>
    <t>Priority_Score</t>
  </si>
  <si>
    <t>Priority_Tier</t>
  </si>
  <si>
    <t>Rationale</t>
  </si>
  <si>
    <t>High-value crop farmers (dragon fruit, pomegranate, mango)</t>
  </si>
  <si>
    <t>Clear willingness to pay; ColdEasy already has reference customers in this segment</t>
  </si>
  <si>
    <t>Mushroom cultivators</t>
  </si>
  <si>
    <t>Narrow climatic tolerance creates strong need, but segment is unexplored - no existing relationships or awareness</t>
  </si>
  <si>
    <t>FPOs &amp; NGOs</t>
  </si>
  <si>
    <t>Broad post-harvest loss problem; existing distribution infrastructure makes this a natural anchor channel</t>
  </si>
  <si>
    <t>B2B / institutional (hypermarkets, quick-commerce, kitchens)</t>
  </si>
  <si>
    <t>Large theoretical market, but many already have cooling - needs a sharper differentiator before this is viable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</si>
</sst>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6F5C"/>
        <bgColor rgb="FF008080"/>
      </patternFill>
    </fill>
    <fill>
      <patternFill patternType="solid">
        <fgColor rgb="FFEAF3F1"/>
        <bgColor rgb="FFFFFFF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FCFCF"/>
      <rgbColor rgb="FF808080"/>
      <rgbColor rgb="FF9999FF"/>
      <rgbColor rgb="FF993366"/>
      <rgbColor rgb="FFEAF3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Normal="100" workbookViewId="0">
      <pane ySplit="1" topLeftCell="A2" activePane="bottomLeft" state="frozen"/>
      <selection pane="bottomLeft" activeCell="B18" sqref="B18"/>
    </sheetView>
  </sheetViews>
  <sheetFormatPr defaultColWidth="8.6640625" defaultRowHeight="13.8" x14ac:dyDescent="0.25"/>
  <cols>
    <col min="1" max="1" width="20" style="5" customWidth="1"/>
    <col min="2" max="2" width="32" style="5" customWidth="1"/>
    <col min="3" max="3" width="36" style="5" customWidth="1"/>
    <col min="4" max="16384" width="8.6640625" style="5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6" t="s">
        <v>3</v>
      </c>
      <c r="B2" s="7" t="s">
        <v>4</v>
      </c>
      <c r="C2" s="7" t="s">
        <v>5</v>
      </c>
    </row>
    <row r="3" spans="1:3" x14ac:dyDescent="0.25">
      <c r="A3" s="6" t="s">
        <v>6</v>
      </c>
      <c r="B3" s="7">
        <v>2000</v>
      </c>
      <c r="C3" s="7">
        <v>100</v>
      </c>
    </row>
    <row r="4" spans="1:3" x14ac:dyDescent="0.25">
      <c r="A4" s="6" t="s">
        <v>7</v>
      </c>
      <c r="B4" s="7">
        <v>80000</v>
      </c>
      <c r="C4" s="7">
        <v>50000</v>
      </c>
    </row>
    <row r="5" spans="1:3" ht="27.6" x14ac:dyDescent="0.25">
      <c r="A5" s="6" t="s">
        <v>8</v>
      </c>
      <c r="B5" s="7" t="s">
        <v>9</v>
      </c>
      <c r="C5" s="7" t="s">
        <v>10</v>
      </c>
    </row>
    <row r="6" spans="1:3" x14ac:dyDescent="0.25">
      <c r="A6" s="6" t="s">
        <v>11</v>
      </c>
      <c r="B6" s="7" t="s">
        <v>12</v>
      </c>
      <c r="C6" s="7" t="s">
        <v>13</v>
      </c>
    </row>
    <row r="7" spans="1:3" x14ac:dyDescent="0.25">
      <c r="A7" s="6" t="s">
        <v>14</v>
      </c>
      <c r="B7" s="7">
        <v>2017</v>
      </c>
      <c r="C7" s="7">
        <v>2019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>
      <pane ySplit="1" topLeftCell="A2" activePane="bottomLeft" state="frozen"/>
      <selection pane="bottomLeft" activeCell="D10" sqref="D10"/>
    </sheetView>
  </sheetViews>
  <sheetFormatPr defaultColWidth="8.6640625" defaultRowHeight="14.4" x14ac:dyDescent="0.3"/>
  <cols>
    <col min="1" max="1" width="16" customWidth="1"/>
    <col min="2" max="2" width="14" customWidth="1"/>
    <col min="3" max="3" width="12" customWidth="1"/>
    <col min="4" max="4" width="10" customWidth="1"/>
  </cols>
  <sheetData>
    <row r="1" spans="1:4" x14ac:dyDescent="0.3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3">
      <c r="A2" s="3" t="s">
        <v>1</v>
      </c>
      <c r="B2" s="3" t="s">
        <v>19</v>
      </c>
      <c r="C2" s="3">
        <v>2000</v>
      </c>
      <c r="D2" s="3" t="s">
        <v>20</v>
      </c>
    </row>
    <row r="3" spans="1:4" x14ac:dyDescent="0.3">
      <c r="A3" s="3" t="s">
        <v>21</v>
      </c>
      <c r="B3" s="3" t="s">
        <v>19</v>
      </c>
      <c r="C3" s="3">
        <v>100</v>
      </c>
      <c r="D3" s="3" t="s">
        <v>20</v>
      </c>
    </row>
    <row r="4" spans="1:4" x14ac:dyDescent="0.3">
      <c r="A4" s="3" t="s">
        <v>1</v>
      </c>
      <c r="B4" s="3" t="s">
        <v>22</v>
      </c>
      <c r="C4" s="3">
        <v>80000</v>
      </c>
      <c r="D4" s="3" t="s">
        <v>23</v>
      </c>
    </row>
    <row r="5" spans="1:4" x14ac:dyDescent="0.3">
      <c r="A5" s="3" t="s">
        <v>21</v>
      </c>
      <c r="B5" s="3" t="s">
        <v>22</v>
      </c>
      <c r="C5" s="3">
        <v>50000</v>
      </c>
      <c r="D5" s="3" t="s">
        <v>23</v>
      </c>
    </row>
    <row r="6" spans="1:4" x14ac:dyDescent="0.3">
      <c r="A6" s="3" t="s">
        <v>1</v>
      </c>
      <c r="B6" s="3" t="s">
        <v>14</v>
      </c>
      <c r="C6" s="3">
        <v>2017</v>
      </c>
      <c r="D6" s="3" t="s">
        <v>24</v>
      </c>
    </row>
    <row r="7" spans="1:4" x14ac:dyDescent="0.3">
      <c r="A7" s="3" t="s">
        <v>21</v>
      </c>
      <c r="B7" s="3" t="s">
        <v>14</v>
      </c>
      <c r="C7" s="3">
        <v>2019</v>
      </c>
      <c r="D7" s="3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topLeftCell="D1" zoomScaleNormal="100" workbookViewId="0">
      <pane ySplit="1" topLeftCell="A2" activePane="bottomLeft" state="frozen"/>
      <selection pane="bottomLeft" activeCell="D7" sqref="D7"/>
    </sheetView>
  </sheetViews>
  <sheetFormatPr defaultColWidth="8.6640625" defaultRowHeight="14.4" x14ac:dyDescent="0.3"/>
  <cols>
    <col min="1" max="1" width="42" customWidth="1"/>
    <col min="2" max="3" width="16" customWidth="1"/>
    <col min="4" max="4" width="18" customWidth="1"/>
    <col min="5" max="5" width="14" customWidth="1"/>
    <col min="6" max="6" width="12" customWidth="1"/>
    <col min="7" max="7" width="52" customWidth="1"/>
  </cols>
  <sheetData>
    <row r="1" spans="1:7" ht="27.6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ht="27.6" x14ac:dyDescent="0.3">
      <c r="A2" s="2" t="s">
        <v>32</v>
      </c>
      <c r="B2" s="3">
        <v>5</v>
      </c>
      <c r="C2" s="3">
        <v>4</v>
      </c>
      <c r="D2" s="3">
        <v>3</v>
      </c>
      <c r="E2" s="3">
        <f>B2+C2</f>
        <v>9</v>
      </c>
      <c r="F2" s="3" t="str">
        <f>IF(E2&gt;=8,"High",IF(E2&gt;=5,"Medium","Low"))</f>
        <v>High</v>
      </c>
      <c r="G2" s="3" t="s">
        <v>33</v>
      </c>
    </row>
    <row r="3" spans="1:7" ht="27.6" x14ac:dyDescent="0.3">
      <c r="A3" s="2" t="s">
        <v>34</v>
      </c>
      <c r="B3" s="3">
        <v>5</v>
      </c>
      <c r="C3" s="3">
        <v>2</v>
      </c>
      <c r="D3" s="3">
        <v>2</v>
      </c>
      <c r="E3" s="3">
        <f>B3+C3</f>
        <v>7</v>
      </c>
      <c r="F3" s="3" t="str">
        <f>IF(E3&gt;=8,"High",IF(E3&gt;=5,"Medium","Low"))</f>
        <v>Medium</v>
      </c>
      <c r="G3" s="3" t="s">
        <v>35</v>
      </c>
    </row>
    <row r="4" spans="1:7" ht="27.6" x14ac:dyDescent="0.3">
      <c r="A4" s="2" t="s">
        <v>36</v>
      </c>
      <c r="B4" s="3">
        <v>4</v>
      </c>
      <c r="C4" s="3">
        <v>4</v>
      </c>
      <c r="D4" s="3">
        <v>5</v>
      </c>
      <c r="E4" s="3">
        <f>B4+C4</f>
        <v>8</v>
      </c>
      <c r="F4" s="3" t="str">
        <f>IF(E4&gt;=8,"High",IF(E4&gt;=5,"Medium","Low"))</f>
        <v>High</v>
      </c>
      <c r="G4" s="3" t="s">
        <v>37</v>
      </c>
    </row>
    <row r="5" spans="1:7" ht="27.6" x14ac:dyDescent="0.3">
      <c r="A5" s="2" t="s">
        <v>38</v>
      </c>
      <c r="B5" s="3">
        <v>2</v>
      </c>
      <c r="C5" s="3">
        <v>2</v>
      </c>
      <c r="D5" s="3">
        <v>4</v>
      </c>
      <c r="E5" s="3">
        <f>B5+C5</f>
        <v>4</v>
      </c>
      <c r="F5" s="3" t="str">
        <f>IF(E5&gt;=8,"High",IF(E5&gt;=5,"Medium","Low"))</f>
        <v>Low</v>
      </c>
      <c r="G5" s="3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Comparison_Wide</vt:lpstr>
      <vt:lpstr>Comparison_Chart</vt:lpstr>
      <vt:lpstr>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Shravan N V</cp:lastModifiedBy>
  <cp:revision>0</cp:revision>
  <dcterms:created xsi:type="dcterms:W3CDTF">2026-06-22T01:56:12Z</dcterms:created>
  <dcterms:modified xsi:type="dcterms:W3CDTF">2026-06-22T08:18:02Z</dcterms:modified>
  <dc:language>en-US</dc:language>
</cp:coreProperties>
</file>